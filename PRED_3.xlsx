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hul Verma\document\D drive\PROJECTS\Vscode\50 PLANT PREDICTION\"/>
    </mc:Choice>
  </mc:AlternateContent>
  <xr:revisionPtr revIDLastSave="0" documentId="13_ncr:1_{5C2BF834-0C54-4B07-8AA8-EE8BD95AD3AD}" xr6:coauthVersionLast="47" xr6:coauthVersionMax="47" xr10:uidLastSave="{00000000-0000-0000-0000-000000000000}"/>
  <bookViews>
    <workbookView xWindow="-110" yWindow="-110" windowWidth="19420" windowHeight="10300" activeTab="2" xr2:uid="{8BA3B8C4-A594-44C4-956C-C479E2FD1CE3}"/>
  </bookViews>
  <sheets>
    <sheet name="GATEIN - GATEOUT VALIDATION" sheetId="1" r:id="rId1"/>
    <sheet name="ROUTE VALIDATION " sheetId="2" r:id="rId2"/>
    <sheet name="YARDIN - DI VALIDATION" sheetId="3" r:id="rId3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C7" i="1"/>
</calcChain>
</file>

<file path=xl/sharedStrings.xml><?xml version="1.0" encoding="utf-8"?>
<sst xmlns="http://schemas.openxmlformats.org/spreadsheetml/2006/main" count="155" uniqueCount="60">
  <si>
    <t>Plant Name</t>
  </si>
  <si>
    <t>Trips checked</t>
  </si>
  <si>
    <t xml:space="preserve">Accuracy % Actual vs Predicted </t>
  </si>
  <si>
    <t>Balaji</t>
  </si>
  <si>
    <t>Tanda</t>
  </si>
  <si>
    <t>Dankuni</t>
  </si>
  <si>
    <t>Aditya</t>
  </si>
  <si>
    <t>Bela</t>
  </si>
  <si>
    <t>ROUTE VALIDATION (NOV)</t>
  </si>
  <si>
    <t xml:space="preserve">PLANT CODE </t>
  </si>
  <si>
    <t xml:space="preserve">VEHICLE NO </t>
  </si>
  <si>
    <t>DESTINATION</t>
  </si>
  <si>
    <t xml:space="preserve">ACTUAL DAYS </t>
  </si>
  <si>
    <t xml:space="preserve">Actual Day Gaps </t>
  </si>
  <si>
    <t>PREDICTED DAYS</t>
  </si>
  <si>
    <t xml:space="preserve">Absolute error </t>
  </si>
  <si>
    <t>Accuracy</t>
  </si>
  <si>
    <t>DC00</t>
  </si>
  <si>
    <t>WB73G2627</t>
  </si>
  <si>
    <t>KALIGHAT</t>
  </si>
  <si>
    <t>02-11-25 15:47:01
09-11-25 22:21:18
18-11-25 15:10:18
22-11-25 16:06:44
25-11-25 16:26:43</t>
  </si>
  <si>
    <t>WB471043</t>
  </si>
  <si>
    <t>01-11-25 06:59:58
02-11-25 14:46:24
03-11-25 06:41:55
04-11-25 06:57:05
05-11-25 06:45:53
06-11-25 05:27:41
08-11-25 05:44:51
09-11-25 05:49:29
10-11-25 06:26:05
11-11-25 07:11:28
12-11-25 06:37:54
14-11-25 05:28:21
15-11-25 07:19:14
16-11-25 04:29:41
22-11-25 07:19:54
23-11-25 06:00:17</t>
  </si>
  <si>
    <t>WB41D5792</t>
  </si>
  <si>
    <t>01-11-25 06:39:27
04-11-25 12:57:18
05-11-25 06:32:43
18-11-25 13:04:15
19-11-25 13:51:01
22-11-25 22:57:25
25-11-25 01:29:14
26-11-25 03:11:49</t>
  </si>
  <si>
    <t>WB19F5503</t>
  </si>
  <si>
    <t>02-11-25 02:35:09
09-11-25 03:10:19
10-11-25 07:03:21
14-11-25 11:28:26
19-11-25 18:43:45</t>
  </si>
  <si>
    <t>WB11F2830</t>
  </si>
  <si>
    <t>01-11-25 10:20:13
06-11-25 07:39:06
07-11-25 07:39:28
08-11-25 13:31:20
09-11-25 23:06:41
23-11-25 14:35:27</t>
  </si>
  <si>
    <t>WB41H7517</t>
  </si>
  <si>
    <t>01-11-25 06:50:44
02-11-25 15:40:38
03-11-25 06:18:35
05-11-25 09:03:49
06-11-25 07:08:32
07-11-25 06:06:23
08-11-25 17:38:53
09-11-25 06:18:44
10-11-25 05:56:12
11-11-25 07:02:49
13-11-25 06:43:02
15-11-25 07:39:01
20-11-25 07:36:35
22-11-25 07:01:53
23-11-25 04:40:48
24-11-25 07:21:04</t>
  </si>
  <si>
    <t>WB11F0208</t>
  </si>
  <si>
    <t>DANKUNI</t>
  </si>
  <si>
    <t>03-11-25 08:07:51
05-11-25 07:23:51
06-11-25 07:45:14
10-11-25 07:35:21
12-11-25 10:37:51
14-11-25 07:43:45
16-11-25 07:15:10
18-11-25 08:32:25
20-11-25 07:30:44
22-11-25 11:00:51</t>
  </si>
  <si>
    <t>WB23E2574</t>
  </si>
  <si>
    <t>02-11-25 10:27:18
02-11-25 17:57:52
04-11-25 12:37:21
04-11-25 17:00:51
11-11-25 03:02:00
12-11-25 19:20:31
14-11-25 15:32:56
17-11-25 01:41:12
19-11-25 09:44:10
21-11-25 11:49:22
22-11-25 18:20:47
23-11-25 18:44:15</t>
  </si>
  <si>
    <t>WB73D1082</t>
  </si>
  <si>
    <t>05-11-25 07:23:51
10-11-25 07:35:21
14-11-25 07:43:45</t>
  </si>
  <si>
    <t>WB19G7643</t>
  </si>
  <si>
    <t>03-11-25 13:42:44
07-11-25 02:00:28
08-11-25 11:33:06
10-11-25 18:26:35
13-11-25 09:07:44
16-11-25 08:30:19
18-11-25 11:15:30
20-11-25 14:23:52
25-11-25 04:53:33</t>
  </si>
  <si>
    <t>WB25F9198</t>
  </si>
  <si>
    <t>08-11-25 13:44:49
10-11-25 07:06:48
11-11-25 11:45:04
15-11-25 11:26:54
18-11-25 07:01:40
20-11-25 07:41:22</t>
  </si>
  <si>
    <t>WB15A9532</t>
  </si>
  <si>
    <t>01-11-25 00:28:16
01-11-25 23:54:16
03-11-25 22:52:16
05-11-25 23:09:50
06-11-25 22:45:55
08-11-25 22:56:47
09-11-25 23:39:16
10-11-25 23:14:49
12-11-25 22:58:27
13-11-25 23:17:56
14-11-25 23:28:26
15-11-25 23:22:53
16-11-25 22:49:11
18-11-25 22:57:12
19-11-25 23:35:44
20-11-25 23:33:37
23-11-25 23:17:04
24-11-25 23:03:47
25-11-25 23:21:39
26-11-25 23:22:08</t>
  </si>
  <si>
    <t>WB23D1316</t>
  </si>
  <si>
    <t>04-11-25 06:30:54
07-11-25 10:14:53
13-11-25 06:03:21
15-11-25 21:06:17</t>
  </si>
  <si>
    <t>WB23F5666</t>
  </si>
  <si>
    <t xml:space="preserve">
17-11-25 09:55:08
19-11-25 04:11:39</t>
  </si>
  <si>
    <t xml:space="preserve">PLANT_CODE </t>
  </si>
  <si>
    <t xml:space="preserve">MATERIAL_CODE </t>
  </si>
  <si>
    <t xml:space="preserve">YARD IN  DATE -TIME </t>
  </si>
  <si>
    <t xml:space="preserve">ACTUAL TIME </t>
  </si>
  <si>
    <t xml:space="preserve">PREDICTED TIME </t>
  </si>
  <si>
    <t>FPCUTHP1760000</t>
  </si>
  <si>
    <t>FPPUTLC0763000</t>
  </si>
  <si>
    <t>FPPUTLC0765000</t>
  </si>
  <si>
    <t>FPPUTHP1765000</t>
  </si>
  <si>
    <t>FPCUCLH1760000</t>
  </si>
  <si>
    <t>FPCUTLH1760000</t>
  </si>
  <si>
    <t>FPPUTHP1760000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</si>
</sst>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/yy\ hh:mm:ss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31333F"/>
      <name val="Arial"/>
      <family val="2"/>
    </font>
    <font>
      <sz val="8"/>
      <color rgb="FF31333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9" fontId="0" fillId="2" borderId="1" xfId="1" applyFont="1" applyFill="1" applyBorder="1"/>
    <xf numFmtId="0" fontId="0" fillId="0" borderId="1" xfId="0" applyBorder="1"/>
    <xf numFmtId="2" fontId="0" fillId="0" borderId="1" xfId="0" applyNumberFormat="1" applyBorder="1"/>
    <xf numFmtId="1" fontId="0" fillId="3" borderId="1" xfId="0" applyNumberFormat="1" applyFill="1" applyBorder="1"/>
    <xf numFmtId="0" fontId="0" fillId="4" borderId="2" xfId="0" applyFill="1" applyBorder="1" applyAlignment="1">
      <alignment horizontal="center"/>
    </xf>
    <xf numFmtId="0" fontId="0" fillId="5" borderId="1" xfId="0" applyFill="1" applyBorder="1"/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0" fillId="5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9" fontId="0" fillId="0" borderId="1" xfId="1" applyFont="1" applyBorder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9" fontId="0" fillId="0" borderId="1" xfId="0" applyNumberFormat="1" applyBorder="1"/>
    <xf numFmtId="0" fontId="4" fillId="0" borderId="1" xfId="0" applyFont="1" applyBorder="1" applyAlignment="1">
      <alignment vertical="center"/>
    </xf>
    <xf numFmtId="9" fontId="0" fillId="4" borderId="1" xfId="0" applyNumberFormat="1" applyFill="1" applyBorder="1"/>
    <xf numFmtId="0" fontId="0" fillId="6" borderId="1" xfId="0" applyFill="1" applyBorder="1"/>
    <xf numFmtId="164" fontId="0" fillId="0" borderId="1" xfId="0" applyNumberFormat="1" applyBorder="1"/>
    <xf numFmtId="1" fontId="0" fillId="0" borderId="1" xfId="0" applyNumberFormat="1" applyBorder="1"/>
    <xf numFmtId="9" fontId="0" fillId="7" borderId="1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A9981-AC30-4133-A229-785564DA2402}">
  <dimension ref="A1:C7"/>
  <sheetViews>
    <sheetView workbookViewId="0">
      <selection activeCell="C16" sqref="C16"/>
    </sheetView>
  </sheetViews>
  <sheetFormatPr defaultRowHeight="14.5" x14ac:dyDescent="0.35"/>
  <cols>
    <col min="1" max="1" width="10.1796875" bestFit="1" customWidth="1"/>
    <col min="2" max="2" width="12" bestFit="1" customWidth="1"/>
    <col min="3" max="3" width="26.81640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s="3" t="s">
        <v>3</v>
      </c>
      <c r="B2" s="3">
        <v>25</v>
      </c>
      <c r="C2" s="4">
        <v>66.2</v>
      </c>
    </row>
    <row r="3" spans="1:3" x14ac:dyDescent="0.35">
      <c r="A3" s="3" t="s">
        <v>4</v>
      </c>
      <c r="B3" s="3">
        <v>29</v>
      </c>
      <c r="C3" s="3">
        <v>74</v>
      </c>
    </row>
    <row r="4" spans="1:3" x14ac:dyDescent="0.35">
      <c r="A4" s="3" t="s">
        <v>5</v>
      </c>
      <c r="B4" s="3">
        <v>25</v>
      </c>
      <c r="C4" s="3">
        <v>74.42</v>
      </c>
    </row>
    <row r="5" spans="1:3" x14ac:dyDescent="0.35">
      <c r="A5" s="3" t="s">
        <v>6</v>
      </c>
      <c r="B5" s="3">
        <v>28</v>
      </c>
      <c r="C5" s="3">
        <v>74.150000000000006</v>
      </c>
    </row>
    <row r="6" spans="1:3" x14ac:dyDescent="0.35">
      <c r="A6" s="3" t="s">
        <v>7</v>
      </c>
      <c r="B6" s="3">
        <v>25</v>
      </c>
      <c r="C6" s="3">
        <v>62</v>
      </c>
    </row>
    <row r="7" spans="1:3" x14ac:dyDescent="0.35">
      <c r="A7" s="3"/>
      <c r="B7" s="3"/>
      <c r="C7" s="5">
        <f>AVERAGE(C2:C6)</f>
        <v>70.153999999999996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2DF0B-1E7F-4CEC-8992-ECBD8EE8DEEE}">
  <dimension ref="A1:H17"/>
  <sheetViews>
    <sheetView workbookViewId="0">
      <selection activeCell="A8" sqref="A8"/>
    </sheetView>
  </sheetViews>
  <sheetFormatPr defaultRowHeight="14.5" x14ac:dyDescent="0.35"/>
  <cols>
    <col min="1" max="1" width="11.7265625" bestFit="1" customWidth="1"/>
    <col min="2" max="2" width="11.1796875" bestFit="1" customWidth="1"/>
    <col min="3" max="3" width="10.90625" bestFit="1" customWidth="1"/>
    <col min="4" max="4" width="15.6328125" bestFit="1" customWidth="1"/>
    <col min="5" max="5" width="14.453125" bestFit="1" customWidth="1"/>
    <col min="6" max="6" width="15" bestFit="1" customWidth="1"/>
    <col min="7" max="7" width="12.54296875" bestFit="1" customWidth="1"/>
    <col min="8" max="8" width="8.36328125" bestFit="1" customWidth="1"/>
  </cols>
  <sheetData>
    <row r="1" spans="1:8" x14ac:dyDescent="0.35">
      <c r="A1" s="6" t="s">
        <v>8</v>
      </c>
      <c r="B1" s="6"/>
      <c r="C1" s="6"/>
      <c r="D1" s="6"/>
      <c r="E1" s="6"/>
      <c r="F1" s="6"/>
      <c r="G1" s="6"/>
      <c r="H1" s="6"/>
    </row>
    <row r="2" spans="1:8" x14ac:dyDescent="0.35">
      <c r="A2" s="7" t="s">
        <v>9</v>
      </c>
      <c r="B2" s="8" t="s">
        <v>10</v>
      </c>
      <c r="C2" s="9" t="s">
        <v>11</v>
      </c>
      <c r="D2" s="10" t="s">
        <v>12</v>
      </c>
      <c r="E2" s="7" t="s">
        <v>13</v>
      </c>
      <c r="F2" s="7" t="s">
        <v>14</v>
      </c>
      <c r="G2" s="7" t="s">
        <v>15</v>
      </c>
      <c r="H2" s="7" t="s">
        <v>16</v>
      </c>
    </row>
    <row r="3" spans="1:8" ht="145" x14ac:dyDescent="0.35">
      <c r="A3" s="3" t="s">
        <v>17</v>
      </c>
      <c r="B3" s="11" t="s">
        <v>18</v>
      </c>
      <c r="C3" s="3" t="s">
        <v>19</v>
      </c>
      <c r="D3" s="12" t="s">
        <v>20</v>
      </c>
      <c r="E3" s="3">
        <v>5.9</v>
      </c>
      <c r="F3" s="3">
        <v>9</v>
      </c>
      <c r="G3" s="3">
        <f>ABS(F3-E3)</f>
        <v>3.0999999999999996</v>
      </c>
      <c r="H3" s="13">
        <f>IFERROR(1-ABS(E3-F3)/MAX(E3,F3),"")</f>
        <v>0.65555555555555567</v>
      </c>
    </row>
    <row r="4" spans="1:8" ht="232" x14ac:dyDescent="0.35">
      <c r="A4" s="3" t="s">
        <v>17</v>
      </c>
      <c r="B4" s="11" t="s">
        <v>21</v>
      </c>
      <c r="C4" s="3" t="s">
        <v>19</v>
      </c>
      <c r="D4" s="12" t="s">
        <v>22</v>
      </c>
      <c r="E4" s="3">
        <v>1.8</v>
      </c>
      <c r="F4" s="3">
        <v>2</v>
      </c>
      <c r="G4" s="3">
        <f t="shared" ref="G4:G16" si="0">ABS(F4-E4)</f>
        <v>0.19999999999999996</v>
      </c>
      <c r="H4" s="13">
        <f t="shared" ref="H4:H16" si="1">IFERROR(1-ABS(E4-F4)/MAX(E4,F4),"")</f>
        <v>0.9</v>
      </c>
    </row>
    <row r="5" spans="1:8" ht="108" customHeight="1" x14ac:dyDescent="0.35">
      <c r="A5" s="3" t="s">
        <v>17</v>
      </c>
      <c r="B5" s="14" t="s">
        <v>23</v>
      </c>
      <c r="C5" s="3" t="s">
        <v>19</v>
      </c>
      <c r="D5" s="12" t="s">
        <v>24</v>
      </c>
      <c r="E5" s="3">
        <v>3.6</v>
      </c>
      <c r="F5" s="3">
        <v>4</v>
      </c>
      <c r="G5" s="3">
        <f t="shared" si="0"/>
        <v>0.39999999999999991</v>
      </c>
      <c r="H5" s="13">
        <f t="shared" si="1"/>
        <v>0.9</v>
      </c>
    </row>
    <row r="6" spans="1:8" ht="78.5" customHeight="1" x14ac:dyDescent="0.35">
      <c r="A6" s="3" t="s">
        <v>17</v>
      </c>
      <c r="B6" s="15" t="s">
        <v>25</v>
      </c>
      <c r="C6" s="3" t="s">
        <v>19</v>
      </c>
      <c r="D6" s="12" t="s">
        <v>26</v>
      </c>
      <c r="E6" s="3">
        <v>4.3</v>
      </c>
      <c r="F6" s="3">
        <v>5</v>
      </c>
      <c r="G6" s="3">
        <f t="shared" si="0"/>
        <v>0.70000000000000018</v>
      </c>
      <c r="H6" s="13">
        <f t="shared" si="1"/>
        <v>0.86</v>
      </c>
    </row>
    <row r="7" spans="1:8" ht="78" customHeight="1" x14ac:dyDescent="0.35">
      <c r="A7" s="3" t="s">
        <v>17</v>
      </c>
      <c r="B7" s="15" t="s">
        <v>27</v>
      </c>
      <c r="C7" s="3" t="s">
        <v>19</v>
      </c>
      <c r="D7" s="12" t="s">
        <v>28</v>
      </c>
      <c r="E7" s="3">
        <v>4.4000000000000004</v>
      </c>
      <c r="F7" s="3">
        <v>4</v>
      </c>
      <c r="G7" s="3">
        <f t="shared" si="0"/>
        <v>0.40000000000000036</v>
      </c>
      <c r="H7" s="13">
        <f t="shared" si="1"/>
        <v>0.90909090909090906</v>
      </c>
    </row>
    <row r="8" spans="1:8" ht="283" customHeight="1" x14ac:dyDescent="0.35">
      <c r="A8" s="3" t="s">
        <v>17</v>
      </c>
      <c r="B8" s="11" t="s">
        <v>29</v>
      </c>
      <c r="C8" s="3" t="s">
        <v>19</v>
      </c>
      <c r="D8" s="12" t="s">
        <v>30</v>
      </c>
      <c r="E8" s="3">
        <v>1.5</v>
      </c>
      <c r="F8" s="3">
        <v>2</v>
      </c>
      <c r="G8" s="3">
        <f t="shared" si="0"/>
        <v>0.5</v>
      </c>
      <c r="H8" s="13">
        <f t="shared" si="1"/>
        <v>0.75</v>
      </c>
    </row>
    <row r="9" spans="1:8" ht="149.5" customHeight="1" x14ac:dyDescent="0.35">
      <c r="A9" s="3" t="s">
        <v>17</v>
      </c>
      <c r="B9" s="15" t="s">
        <v>31</v>
      </c>
      <c r="C9" s="3" t="s">
        <v>32</v>
      </c>
      <c r="D9" s="12" t="s">
        <v>33</v>
      </c>
      <c r="E9" s="3">
        <v>2.2000000000000002</v>
      </c>
      <c r="F9" s="3">
        <v>3</v>
      </c>
      <c r="G9" s="3">
        <f t="shared" si="0"/>
        <v>0.79999999999999982</v>
      </c>
      <c r="H9" s="13">
        <f t="shared" si="1"/>
        <v>0.73333333333333339</v>
      </c>
    </row>
    <row r="10" spans="1:8" ht="171.5" customHeight="1" x14ac:dyDescent="0.35">
      <c r="A10" s="3" t="s">
        <v>17</v>
      </c>
      <c r="B10" s="15" t="s">
        <v>34</v>
      </c>
      <c r="C10" s="3" t="s">
        <v>32</v>
      </c>
      <c r="D10" s="12" t="s">
        <v>35</v>
      </c>
      <c r="E10" s="3">
        <v>2</v>
      </c>
      <c r="F10" s="3">
        <v>3</v>
      </c>
      <c r="G10" s="3">
        <f t="shared" si="0"/>
        <v>1</v>
      </c>
      <c r="H10" s="13">
        <f t="shared" si="1"/>
        <v>0.66666666666666674</v>
      </c>
    </row>
    <row r="11" spans="1:8" ht="39.5" customHeight="1" x14ac:dyDescent="0.35">
      <c r="A11" s="3" t="s">
        <v>17</v>
      </c>
      <c r="B11" s="15" t="s">
        <v>36</v>
      </c>
      <c r="C11" s="3" t="s">
        <v>32</v>
      </c>
      <c r="D11" s="12" t="s">
        <v>37</v>
      </c>
      <c r="E11" s="3">
        <v>5</v>
      </c>
      <c r="F11" s="3">
        <v>7</v>
      </c>
      <c r="G11" s="3">
        <f t="shared" si="0"/>
        <v>2</v>
      </c>
      <c r="H11" s="13">
        <f t="shared" si="1"/>
        <v>0.7142857142857143</v>
      </c>
    </row>
    <row r="12" spans="1:8" ht="118" customHeight="1" x14ac:dyDescent="0.35">
      <c r="A12" s="3" t="s">
        <v>17</v>
      </c>
      <c r="B12" s="15" t="s">
        <v>38</v>
      </c>
      <c r="C12" s="3" t="s">
        <v>32</v>
      </c>
      <c r="D12" s="12" t="s">
        <v>39</v>
      </c>
      <c r="E12" s="3">
        <v>2.67</v>
      </c>
      <c r="F12" s="3">
        <v>5</v>
      </c>
      <c r="G12" s="3">
        <f t="shared" si="0"/>
        <v>2.33</v>
      </c>
      <c r="H12" s="16">
        <f t="shared" si="1"/>
        <v>0.53400000000000003</v>
      </c>
    </row>
    <row r="13" spans="1:8" ht="96" customHeight="1" x14ac:dyDescent="0.35">
      <c r="A13" s="3" t="s">
        <v>17</v>
      </c>
      <c r="B13" s="11" t="s">
        <v>40</v>
      </c>
      <c r="C13" s="3" t="s">
        <v>32</v>
      </c>
      <c r="D13" s="12" t="s">
        <v>41</v>
      </c>
      <c r="E13" s="3">
        <v>2.2999999999999998</v>
      </c>
      <c r="F13" s="3">
        <v>4</v>
      </c>
      <c r="G13" s="3">
        <f t="shared" si="0"/>
        <v>1.7000000000000002</v>
      </c>
      <c r="H13" s="16">
        <f t="shared" si="1"/>
        <v>0.57499999999999996</v>
      </c>
    </row>
    <row r="14" spans="1:8" ht="332" customHeight="1" x14ac:dyDescent="0.35">
      <c r="A14" s="3" t="s">
        <v>17</v>
      </c>
      <c r="B14" s="17" t="s">
        <v>42</v>
      </c>
      <c r="C14" s="3" t="s">
        <v>32</v>
      </c>
      <c r="D14" s="12" t="s">
        <v>43</v>
      </c>
      <c r="E14" s="3">
        <v>1.4</v>
      </c>
      <c r="F14" s="3">
        <v>2</v>
      </c>
      <c r="G14" s="3">
        <f t="shared" si="0"/>
        <v>0.60000000000000009</v>
      </c>
      <c r="H14" s="16">
        <f t="shared" si="1"/>
        <v>0.7</v>
      </c>
    </row>
    <row r="15" spans="1:8" ht="67.5" customHeight="1" x14ac:dyDescent="0.35">
      <c r="A15" s="3" t="s">
        <v>17</v>
      </c>
      <c r="B15" s="17" t="s">
        <v>44</v>
      </c>
      <c r="C15" s="3" t="s">
        <v>32</v>
      </c>
      <c r="D15" s="12" t="s">
        <v>45</v>
      </c>
      <c r="E15" s="3">
        <v>4</v>
      </c>
      <c r="F15" s="3">
        <v>7</v>
      </c>
      <c r="G15" s="3">
        <f t="shared" si="0"/>
        <v>3</v>
      </c>
      <c r="H15" s="16">
        <f t="shared" si="1"/>
        <v>0.5714285714285714</v>
      </c>
    </row>
    <row r="16" spans="1:8" ht="48" customHeight="1" x14ac:dyDescent="0.35">
      <c r="A16" s="3" t="s">
        <v>17</v>
      </c>
      <c r="B16" s="3" t="s">
        <v>46</v>
      </c>
      <c r="C16" s="3" t="s">
        <v>32</v>
      </c>
      <c r="D16" s="12" t="s">
        <v>47</v>
      </c>
      <c r="E16" s="3">
        <v>2.2999999999999998</v>
      </c>
      <c r="F16" s="3">
        <v>4</v>
      </c>
      <c r="G16" s="3">
        <f t="shared" si="0"/>
        <v>1.7000000000000002</v>
      </c>
      <c r="H16" s="16">
        <f t="shared" si="1"/>
        <v>0.57499999999999996</v>
      </c>
    </row>
    <row r="17" spans="8:8" x14ac:dyDescent="0.35">
      <c r="H17" s="18">
        <f>AVERAGE(H3:H16)</f>
        <v>0.71745433931148206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8E0BD-6662-465C-9ED4-1488554F240A}">
  <dimension ref="A1:F40"/>
  <sheetViews>
    <sheetView tabSelected="1" workbookViewId="0">
      <selection activeCell="H15" sqref="H15"/>
    </sheetView>
  </sheetViews>
  <sheetFormatPr defaultRowHeight="14.5" x14ac:dyDescent="0.35"/>
  <cols>
    <col min="1" max="1" width="12.1796875" bestFit="1" customWidth="1"/>
    <col min="2" max="2" width="16" bestFit="1" customWidth="1"/>
    <col min="3" max="3" width="17.7265625" bestFit="1" customWidth="1"/>
    <col min="4" max="4" width="11.90625" bestFit="1" customWidth="1"/>
    <col min="5" max="5" width="14.81640625" bestFit="1" customWidth="1"/>
    <col min="6" max="6" width="8.36328125" bestFit="1" customWidth="1"/>
  </cols>
  <sheetData>
    <row r="1" spans="1:6" x14ac:dyDescent="0.35">
      <c r="A1" s="19" t="s">
        <v>48</v>
      </c>
      <c r="B1" s="19" t="s">
        <v>49</v>
      </c>
      <c r="C1" s="19" t="s">
        <v>50</v>
      </c>
      <c r="D1" s="19" t="s">
        <v>51</v>
      </c>
      <c r="E1" s="19" t="s">
        <v>52</v>
      </c>
      <c r="F1" s="19" t="s">
        <v>16</v>
      </c>
    </row>
    <row r="2" spans="1:6" x14ac:dyDescent="0.35">
      <c r="A2" s="3" t="s">
        <v>17</v>
      </c>
      <c r="B2" s="3" t="s">
        <v>53</v>
      </c>
      <c r="C2" s="20">
        <v>45988.252337962964</v>
      </c>
      <c r="D2" s="3">
        <v>50</v>
      </c>
      <c r="E2" s="3">
        <v>64</v>
      </c>
      <c r="F2" s="13">
        <f>IFERROR(1-ABS(D2-E2)/MAX(D2,E2),"")</f>
        <v>0.78125</v>
      </c>
    </row>
    <row r="3" spans="1:6" x14ac:dyDescent="0.35">
      <c r="A3" s="3" t="s">
        <v>17</v>
      </c>
      <c r="B3" s="3" t="s">
        <v>53</v>
      </c>
      <c r="C3" s="20">
        <v>45964.304606481484</v>
      </c>
      <c r="D3" s="3">
        <v>78</v>
      </c>
      <c r="E3" s="3">
        <v>81</v>
      </c>
      <c r="F3" s="13">
        <f t="shared" ref="F3:F39" si="0">IFERROR(1-ABS(D3-E3)/MAX(D3,E3),"")</f>
        <v>0.96296296296296302</v>
      </c>
    </row>
    <row r="4" spans="1:6" x14ac:dyDescent="0.35">
      <c r="A4" s="3" t="s">
        <v>17</v>
      </c>
      <c r="B4" s="3" t="s">
        <v>53</v>
      </c>
      <c r="C4" s="20">
        <v>45962.285231481481</v>
      </c>
      <c r="D4" s="3">
        <v>88</v>
      </c>
      <c r="E4" s="3">
        <v>98</v>
      </c>
      <c r="F4" s="13">
        <f t="shared" si="0"/>
        <v>0.89795918367346939</v>
      </c>
    </row>
    <row r="5" spans="1:6" x14ac:dyDescent="0.35">
      <c r="A5" s="3" t="s">
        <v>17</v>
      </c>
      <c r="B5" s="3" t="s">
        <v>54</v>
      </c>
      <c r="C5" s="20">
        <v>45983.308761574073</v>
      </c>
      <c r="D5" s="3">
        <v>42</v>
      </c>
      <c r="E5" s="3">
        <v>90</v>
      </c>
      <c r="F5" s="13">
        <f t="shared" si="0"/>
        <v>0.46666666666666667</v>
      </c>
    </row>
    <row r="6" spans="1:6" x14ac:dyDescent="0.35">
      <c r="A6" s="3" t="s">
        <v>17</v>
      </c>
      <c r="B6" s="3" t="s">
        <v>54</v>
      </c>
      <c r="C6" s="20">
        <v>45975.694988425923</v>
      </c>
      <c r="D6" s="3">
        <v>51</v>
      </c>
      <c r="E6" s="3">
        <v>87</v>
      </c>
      <c r="F6" s="13">
        <f t="shared" si="0"/>
        <v>0.5862068965517242</v>
      </c>
    </row>
    <row r="7" spans="1:6" x14ac:dyDescent="0.35">
      <c r="A7" s="3" t="s">
        <v>17</v>
      </c>
      <c r="B7" s="3" t="s">
        <v>55</v>
      </c>
      <c r="C7" s="20">
        <v>45984.273645833331</v>
      </c>
      <c r="D7" s="3">
        <v>56</v>
      </c>
      <c r="E7" s="3">
        <v>92</v>
      </c>
      <c r="F7" s="13">
        <f t="shared" si="0"/>
        <v>0.60869565217391308</v>
      </c>
    </row>
    <row r="8" spans="1:6" x14ac:dyDescent="0.35">
      <c r="A8" s="3" t="s">
        <v>17</v>
      </c>
      <c r="B8" s="3" t="s">
        <v>55</v>
      </c>
      <c r="C8" s="20">
        <v>45983.470717592594</v>
      </c>
      <c r="D8" s="3">
        <v>68</v>
      </c>
      <c r="E8" s="3">
        <v>73</v>
      </c>
      <c r="F8" s="13">
        <f t="shared" si="0"/>
        <v>0.93150684931506844</v>
      </c>
    </row>
    <row r="9" spans="1:6" x14ac:dyDescent="0.35">
      <c r="A9" s="3" t="s">
        <v>17</v>
      </c>
      <c r="B9" s="3" t="s">
        <v>55</v>
      </c>
      <c r="C9" s="20">
        <v>45984.680439814816</v>
      </c>
      <c r="D9" s="3">
        <v>34</v>
      </c>
      <c r="E9" s="3">
        <v>68</v>
      </c>
      <c r="F9" s="13">
        <f t="shared" si="0"/>
        <v>0.5</v>
      </c>
    </row>
    <row r="10" spans="1:6" x14ac:dyDescent="0.35">
      <c r="A10" s="3" t="s">
        <v>17</v>
      </c>
      <c r="B10" s="3" t="s">
        <v>53</v>
      </c>
      <c r="C10" s="20">
        <v>45964.304606481484</v>
      </c>
      <c r="D10" s="3">
        <v>78</v>
      </c>
      <c r="E10" s="3">
        <v>77</v>
      </c>
      <c r="F10" s="13">
        <f t="shared" si="0"/>
        <v>0.98717948717948723</v>
      </c>
    </row>
    <row r="11" spans="1:6" x14ac:dyDescent="0.35">
      <c r="A11" s="3" t="s">
        <v>17</v>
      </c>
      <c r="B11" s="3" t="s">
        <v>53</v>
      </c>
      <c r="C11" s="20">
        <v>45988.341574074075</v>
      </c>
      <c r="D11" s="3">
        <v>56</v>
      </c>
      <c r="E11" s="3">
        <v>69</v>
      </c>
      <c r="F11" s="13">
        <f t="shared" si="0"/>
        <v>0.81159420289855078</v>
      </c>
    </row>
    <row r="12" spans="1:6" x14ac:dyDescent="0.35">
      <c r="A12" s="3" t="s">
        <v>17</v>
      </c>
      <c r="B12" s="3" t="s">
        <v>53</v>
      </c>
      <c r="C12" s="20">
        <v>45988.279768518521</v>
      </c>
      <c r="D12" s="3">
        <v>62</v>
      </c>
      <c r="E12" s="3">
        <v>70</v>
      </c>
      <c r="F12" s="13">
        <f t="shared" si="0"/>
        <v>0.88571428571428568</v>
      </c>
    </row>
    <row r="13" spans="1:6" x14ac:dyDescent="0.35">
      <c r="A13" s="3" t="s">
        <v>17</v>
      </c>
      <c r="B13" s="3" t="s">
        <v>53</v>
      </c>
      <c r="C13" s="20">
        <v>45988.252337962964</v>
      </c>
      <c r="D13" s="3">
        <v>50</v>
      </c>
      <c r="E13" s="3">
        <v>75</v>
      </c>
      <c r="F13" s="13">
        <f t="shared" si="0"/>
        <v>0.66666666666666674</v>
      </c>
    </row>
    <row r="14" spans="1:6" x14ac:dyDescent="0.35">
      <c r="A14" s="3" t="s">
        <v>17</v>
      </c>
      <c r="B14" s="3" t="s">
        <v>53</v>
      </c>
      <c r="C14" s="20">
        <v>45988.270891203705</v>
      </c>
      <c r="D14" s="3">
        <v>87</v>
      </c>
      <c r="E14" s="3">
        <v>75</v>
      </c>
      <c r="F14" s="13">
        <f t="shared" si="0"/>
        <v>0.86206896551724133</v>
      </c>
    </row>
    <row r="15" spans="1:6" x14ac:dyDescent="0.35">
      <c r="A15" s="3" t="s">
        <v>17</v>
      </c>
      <c r="B15" s="3" t="s">
        <v>53</v>
      </c>
      <c r="C15" s="20">
        <v>45988.279247685183</v>
      </c>
      <c r="D15" s="3">
        <v>64</v>
      </c>
      <c r="E15" s="3">
        <v>79</v>
      </c>
      <c r="F15" s="13">
        <f t="shared" si="0"/>
        <v>0.810126582278481</v>
      </c>
    </row>
    <row r="16" spans="1:6" x14ac:dyDescent="0.35">
      <c r="A16" s="3" t="s">
        <v>17</v>
      </c>
      <c r="B16" s="3" t="s">
        <v>53</v>
      </c>
      <c r="C16" s="20">
        <v>45988.293067129627</v>
      </c>
      <c r="D16" s="3">
        <v>48</v>
      </c>
      <c r="E16" s="3">
        <v>75</v>
      </c>
      <c r="F16" s="13">
        <f t="shared" si="0"/>
        <v>0.64</v>
      </c>
    </row>
    <row r="17" spans="1:6" x14ac:dyDescent="0.35">
      <c r="A17" s="3" t="s">
        <v>17</v>
      </c>
      <c r="B17" s="3" t="s">
        <v>56</v>
      </c>
      <c r="C17" s="20">
        <v>45988.082824074074</v>
      </c>
      <c r="D17" s="3">
        <v>59</v>
      </c>
      <c r="E17" s="3">
        <v>89</v>
      </c>
      <c r="F17" s="13">
        <f t="shared" si="0"/>
        <v>0.66292134831460681</v>
      </c>
    </row>
    <row r="18" spans="1:6" x14ac:dyDescent="0.35">
      <c r="A18" s="3" t="s">
        <v>17</v>
      </c>
      <c r="B18" s="3" t="s">
        <v>56</v>
      </c>
      <c r="C18" s="20">
        <v>45988.110046296293</v>
      </c>
      <c r="D18" s="3">
        <v>21</v>
      </c>
      <c r="E18" s="3">
        <v>78</v>
      </c>
      <c r="F18" s="13">
        <f t="shared" si="0"/>
        <v>0.26923076923076927</v>
      </c>
    </row>
    <row r="19" spans="1:6" x14ac:dyDescent="0.35">
      <c r="A19" s="3" t="s">
        <v>17</v>
      </c>
      <c r="B19" s="3" t="s">
        <v>53</v>
      </c>
      <c r="C19" s="20">
        <v>45988.293067129627</v>
      </c>
      <c r="D19" s="21">
        <v>47.916666667442769</v>
      </c>
      <c r="E19" s="3">
        <v>64</v>
      </c>
      <c r="F19" s="13">
        <f t="shared" si="0"/>
        <v>0.74869791667879326</v>
      </c>
    </row>
    <row r="20" spans="1:6" x14ac:dyDescent="0.35">
      <c r="A20" s="3" t="s">
        <v>17</v>
      </c>
      <c r="B20" s="3" t="s">
        <v>53</v>
      </c>
      <c r="C20" s="20">
        <v>45988.074432870373</v>
      </c>
      <c r="D20" s="21">
        <v>64.133333332138136</v>
      </c>
      <c r="E20" s="3">
        <v>67</v>
      </c>
      <c r="F20" s="13">
        <f t="shared" si="0"/>
        <v>0.9572139303304199</v>
      </c>
    </row>
    <row r="21" spans="1:6" x14ac:dyDescent="0.35">
      <c r="A21" s="3" t="s">
        <v>17</v>
      </c>
      <c r="B21" s="3" t="s">
        <v>53</v>
      </c>
      <c r="C21" s="20">
        <v>45987.665381944447</v>
      </c>
      <c r="D21" s="21">
        <v>42.349999998696148</v>
      </c>
      <c r="E21" s="3">
        <v>59</v>
      </c>
      <c r="F21" s="13">
        <f t="shared" si="0"/>
        <v>0.71779661014739227</v>
      </c>
    </row>
    <row r="22" spans="1:6" x14ac:dyDescent="0.35">
      <c r="A22" s="3" t="s">
        <v>17</v>
      </c>
      <c r="B22" s="3" t="s">
        <v>53</v>
      </c>
      <c r="C22" s="20">
        <v>45987.651365740741</v>
      </c>
      <c r="D22" s="21">
        <v>48.333333337213844</v>
      </c>
      <c r="E22" s="3">
        <v>69</v>
      </c>
      <c r="F22" s="13">
        <f t="shared" si="0"/>
        <v>0.70048309184367885</v>
      </c>
    </row>
    <row r="23" spans="1:6" x14ac:dyDescent="0.35">
      <c r="A23" s="3" t="s">
        <v>17</v>
      </c>
      <c r="B23" s="3" t="s">
        <v>53</v>
      </c>
      <c r="C23" s="20">
        <v>45987.5703587963</v>
      </c>
      <c r="D23" s="21">
        <v>49.566666665486991</v>
      </c>
      <c r="E23" s="3">
        <v>58</v>
      </c>
      <c r="F23" s="13">
        <f t="shared" si="0"/>
        <v>0.85459770112908606</v>
      </c>
    </row>
    <row r="24" spans="1:6" x14ac:dyDescent="0.35">
      <c r="A24" s="3" t="s">
        <v>17</v>
      </c>
      <c r="B24" s="3" t="s">
        <v>53</v>
      </c>
      <c r="C24" s="20">
        <v>45987.456956018519</v>
      </c>
      <c r="D24" s="21">
        <v>48.033333329949528</v>
      </c>
      <c r="E24" s="3">
        <v>59</v>
      </c>
      <c r="F24" s="13">
        <f t="shared" si="0"/>
        <v>0.81412429372795814</v>
      </c>
    </row>
    <row r="25" spans="1:6" x14ac:dyDescent="0.35">
      <c r="A25" s="3" t="s">
        <v>17</v>
      </c>
      <c r="B25" s="3" t="s">
        <v>53</v>
      </c>
      <c r="C25" s="20">
        <v>45987.144791666666</v>
      </c>
      <c r="D25" s="21">
        <v>48.933333330787718</v>
      </c>
      <c r="E25" s="3">
        <v>59</v>
      </c>
      <c r="F25" s="13">
        <f t="shared" si="0"/>
        <v>0.82937853103030035</v>
      </c>
    </row>
    <row r="26" spans="1:6" x14ac:dyDescent="0.35">
      <c r="A26" s="3" t="s">
        <v>17</v>
      </c>
      <c r="B26" s="3" t="s">
        <v>53</v>
      </c>
      <c r="C26" s="20">
        <v>45987.082175925927</v>
      </c>
      <c r="D26" s="21">
        <v>63.533333328086883</v>
      </c>
      <c r="E26" s="3">
        <v>59</v>
      </c>
      <c r="F26" s="13">
        <f t="shared" si="0"/>
        <v>0.92864637992978116</v>
      </c>
    </row>
    <row r="27" spans="1:6" x14ac:dyDescent="0.35">
      <c r="A27" s="3" t="s">
        <v>17</v>
      </c>
      <c r="B27" s="3" t="s">
        <v>57</v>
      </c>
      <c r="C27" s="20">
        <v>45987.552245370367</v>
      </c>
      <c r="D27" s="21">
        <v>48.216666674707085</v>
      </c>
      <c r="E27" s="3">
        <v>60</v>
      </c>
      <c r="F27" s="13">
        <f t="shared" si="0"/>
        <v>0.80361111124511808</v>
      </c>
    </row>
    <row r="28" spans="1:6" x14ac:dyDescent="0.35">
      <c r="A28" s="3" t="s">
        <v>17</v>
      </c>
      <c r="B28" s="3" t="s">
        <v>57</v>
      </c>
      <c r="C28" s="20">
        <v>45987.364791666667</v>
      </c>
      <c r="D28" s="21">
        <v>47.316666663391516</v>
      </c>
      <c r="E28" s="3">
        <v>59</v>
      </c>
      <c r="F28" s="13">
        <f t="shared" si="0"/>
        <v>0.80197740107443249</v>
      </c>
    </row>
    <row r="29" spans="1:6" x14ac:dyDescent="0.35">
      <c r="A29" s="3" t="s">
        <v>17</v>
      </c>
      <c r="B29" s="3" t="s">
        <v>57</v>
      </c>
      <c r="C29" s="20">
        <v>45987.283750000002</v>
      </c>
      <c r="D29" s="21">
        <v>54.449999998323619</v>
      </c>
      <c r="E29" s="3">
        <v>61</v>
      </c>
      <c r="F29" s="13">
        <f t="shared" si="0"/>
        <v>0.89262295079219045</v>
      </c>
    </row>
    <row r="30" spans="1:6" x14ac:dyDescent="0.35">
      <c r="A30" s="3" t="s">
        <v>17</v>
      </c>
      <c r="B30" s="3" t="s">
        <v>57</v>
      </c>
      <c r="C30" s="20">
        <v>45986.129259259258</v>
      </c>
      <c r="D30" s="21">
        <v>48.633333334000781</v>
      </c>
      <c r="E30" s="3">
        <v>58</v>
      </c>
      <c r="F30" s="13">
        <f t="shared" si="0"/>
        <v>0.83850574713794446</v>
      </c>
    </row>
    <row r="31" spans="1:6" x14ac:dyDescent="0.35">
      <c r="A31" s="3" t="s">
        <v>17</v>
      </c>
      <c r="B31" s="3" t="s">
        <v>58</v>
      </c>
      <c r="C31" s="20">
        <v>45987.234664351854</v>
      </c>
      <c r="D31" s="21">
        <v>64.333333326503634</v>
      </c>
      <c r="E31" s="3">
        <v>59</v>
      </c>
      <c r="F31" s="13">
        <f t="shared" si="0"/>
        <v>0.91709844569321508</v>
      </c>
    </row>
    <row r="32" spans="1:6" x14ac:dyDescent="0.35">
      <c r="A32" s="3" t="s">
        <v>17</v>
      </c>
      <c r="B32" s="3" t="s">
        <v>59</v>
      </c>
      <c r="C32" s="20">
        <v>45987.863541666666</v>
      </c>
      <c r="D32" s="21">
        <v>37.650000000139698</v>
      </c>
      <c r="E32" s="3">
        <v>98</v>
      </c>
      <c r="F32" s="13">
        <f t="shared" si="0"/>
        <v>0.38418367347081328</v>
      </c>
    </row>
    <row r="33" spans="1:6" x14ac:dyDescent="0.35">
      <c r="A33" s="3" t="s">
        <v>17</v>
      </c>
      <c r="B33" s="3" t="s">
        <v>59</v>
      </c>
      <c r="C33" s="20">
        <v>45988.074432870373</v>
      </c>
      <c r="D33" s="21">
        <v>64.133333332138136</v>
      </c>
      <c r="E33" s="3">
        <v>88</v>
      </c>
      <c r="F33" s="13">
        <f t="shared" si="0"/>
        <v>0.72878787877429696</v>
      </c>
    </row>
    <row r="34" spans="1:6" x14ac:dyDescent="0.35">
      <c r="A34" s="3" t="s">
        <v>17</v>
      </c>
      <c r="B34" s="3" t="s">
        <v>59</v>
      </c>
      <c r="C34" s="20">
        <v>45987.830868055556</v>
      </c>
      <c r="D34" s="21">
        <v>51.983333331299946</v>
      </c>
      <c r="E34" s="3">
        <v>98</v>
      </c>
      <c r="F34" s="13">
        <f t="shared" si="0"/>
        <v>0.53044217684999939</v>
      </c>
    </row>
    <row r="35" spans="1:6" x14ac:dyDescent="0.35">
      <c r="A35" s="3" t="s">
        <v>17</v>
      </c>
      <c r="B35" s="3" t="s">
        <v>59</v>
      </c>
      <c r="C35" s="20">
        <v>45987.144791666666</v>
      </c>
      <c r="D35" s="21">
        <v>48.933333330787718</v>
      </c>
      <c r="E35" s="3">
        <v>95</v>
      </c>
      <c r="F35" s="13">
        <f t="shared" si="0"/>
        <v>0.51508771927144958</v>
      </c>
    </row>
    <row r="36" spans="1:6" x14ac:dyDescent="0.35">
      <c r="A36" s="3" t="s">
        <v>17</v>
      </c>
      <c r="B36" s="3" t="s">
        <v>59</v>
      </c>
      <c r="C36" s="20">
        <v>45986.853946759256</v>
      </c>
      <c r="D36" s="21">
        <v>43.900000004796311</v>
      </c>
      <c r="E36" s="3">
        <v>103</v>
      </c>
      <c r="F36" s="13">
        <f t="shared" si="0"/>
        <v>0.42621359227957589</v>
      </c>
    </row>
    <row r="37" spans="1:6" x14ac:dyDescent="0.35">
      <c r="A37" s="3" t="s">
        <v>17</v>
      </c>
      <c r="B37" s="3" t="s">
        <v>59</v>
      </c>
      <c r="C37" s="20">
        <v>45986.678668981483</v>
      </c>
      <c r="D37" s="21">
        <v>73.533333329251036</v>
      </c>
      <c r="E37" s="3">
        <v>100</v>
      </c>
      <c r="F37" s="13">
        <f t="shared" si="0"/>
        <v>0.73533333329251038</v>
      </c>
    </row>
    <row r="38" spans="1:6" x14ac:dyDescent="0.35">
      <c r="A38" s="3" t="s">
        <v>17</v>
      </c>
      <c r="B38" s="3" t="s">
        <v>59</v>
      </c>
      <c r="C38" s="20">
        <v>45986.775879629633</v>
      </c>
      <c r="D38" s="21">
        <v>62.799999990966171</v>
      </c>
      <c r="E38" s="3">
        <v>101</v>
      </c>
      <c r="F38" s="13">
        <f t="shared" si="0"/>
        <v>0.62178217812837788</v>
      </c>
    </row>
    <row r="39" spans="1:6" x14ac:dyDescent="0.35">
      <c r="A39" s="3" t="s">
        <v>17</v>
      </c>
      <c r="B39" s="3" t="s">
        <v>59</v>
      </c>
      <c r="C39" s="20">
        <v>45986.707037037035</v>
      </c>
      <c r="D39" s="21">
        <v>69.683333340799436</v>
      </c>
      <c r="E39" s="3">
        <v>103</v>
      </c>
      <c r="F39" s="13">
        <f t="shared" si="0"/>
        <v>0.67653721690096535</v>
      </c>
    </row>
    <row r="40" spans="1:6" x14ac:dyDescent="0.35">
      <c r="F40" s="22">
        <f>AVERAGE(F2:F39)</f>
        <v>0.73036506312821559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GATEIN - GATEOUT VALIDATION</vt:lpstr>
      <vt:lpstr>ROUTE VALIDATION </vt:lpstr>
      <vt:lpstr>YARDIN - DI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Verma</dc:creator>
  <cp:lastModifiedBy>Rahul Verma</cp:lastModifiedBy>
  <dcterms:created xsi:type="dcterms:W3CDTF">2025-12-02T11:23:45Z</dcterms:created>
  <dcterms:modified xsi:type="dcterms:W3CDTF">2025-12-02T12:10:59Z</dcterms:modified>
</cp:coreProperties>
</file>